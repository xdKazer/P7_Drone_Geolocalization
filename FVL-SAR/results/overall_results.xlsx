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audk-my.sharepoint.com/personal/zn23sc_student_aau_dk/Documents/Skrivebord/"/>
    </mc:Choice>
  </mc:AlternateContent>
  <xr:revisionPtr revIDLastSave="114" documentId="8_{4DB00EE0-4B4A-443B-9C79-B8BA300FB739}" xr6:coauthVersionLast="47" xr6:coauthVersionMax="47" xr10:uidLastSave="{DE288E7A-6C71-4976-812E-F1F8A3976429}"/>
  <bookViews>
    <workbookView xWindow="-120" yWindow="-18120" windowWidth="29040" windowHeight="17520" xr2:uid="{D010EE19-6CD8-4A2F-B133-A8F187D8D3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7" i="1"/>
  <c r="B12" i="1"/>
  <c r="B11" i="1"/>
  <c r="B4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<sst xmlns="http://schemas.openxmlformats.org/spreadsheetml/2006/main" count="25" uniqueCount="20">
  <si>
    <t>HR</t>
  </si>
  <si>
    <t>ME</t>
  </si>
  <si>
    <t>RMSE</t>
  </si>
  <si>
    <t>Tid</t>
  </si>
  <si>
    <t>STD</t>
  </si>
  <si>
    <t>OVERALL: mean error: 21.31471015625 rmse: 24.94018816837564 STD: 12.96241834184563</t>
  </si>
  <si>
    <t>OVERALL: mean error: 18.882116312997347 rmse: 20.942581053776347 STD: 9.064566105829043</t>
  </si>
  <si>
    <t>OVERALL: mean error: 33.33056 rmse: 37.55853356539864 STD: 17.32508653397971</t>
  </si>
  <si>
    <t>OVERALL: mean error: 27.249966532258064 rmse: 30.90532130571491 STD: 14.60954652008609</t>
  </si>
  <si>
    <t xml:space="preserve">OVERALL: mean error: 18.855962041884816 rmse: 21.13465945550415 STD: 9.558540840951377 </t>
  </si>
  <si>
    <t>OVERALL: mean error: 45.21040797101449 rmse: 48.991157022895024 STD: 18.9407531702699</t>
  </si>
  <si>
    <t xml:space="preserve">OVERALL: mean error: 27.28097128309572 rmse: 31.537426655281347 STD: 15.838838983623555 </t>
  </si>
  <si>
    <t>OVERALL: mean error: 19.063261538461543 rmse: 20.565995059208408 STD: 8.032116573433852</t>
  </si>
  <si>
    <t xml:space="preserve">OVERALL: mean error: 16.484290495867768 rmse: 19.73806215194306 STD: 10.867533271257884 </t>
  </si>
  <si>
    <t>Vis-Loc</t>
  </si>
  <si>
    <t>VPAIR</t>
  </si>
  <si>
    <t>KH</t>
  </si>
  <si>
    <t>UH</t>
  </si>
  <si>
    <t xml:space="preserve">OVERALL: mean error: 61.560638133333335 rmse: 82.86883783993676 STD: 55.4878411707344 </t>
  </si>
  <si>
    <t xml:space="preserve">OVERALL: mean error: 64.06109907329407 rmse: 87.99477800755601 STD: 60.33896048264157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</si>
</sst>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0000000000"/>
    <numFmt numFmtId="177" formatCode="#,##0.0000000000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832A7-3E53-445B-A982-5879E7788188}">
  <dimension ref="A2:H17"/>
  <sheetViews>
    <sheetView tabSelected="1" zoomScale="161" workbookViewId="0">
      <selection activeCell="F19" sqref="F19"/>
    </sheetView>
  </sheetViews>
  <sheetFormatPr defaultRowHeight="14.4" x14ac:dyDescent="0.3"/>
  <cols>
    <col min="2" max="2" width="27" customWidth="1"/>
    <col min="3" max="3" width="23.21875" customWidth="1"/>
    <col min="4" max="4" width="22.44140625" customWidth="1"/>
    <col min="5" max="5" width="21.33203125" customWidth="1"/>
    <col min="6" max="6" width="21.44140625" customWidth="1"/>
  </cols>
  <sheetData>
    <row r="2" spans="1:8" x14ac:dyDescent="0.3">
      <c r="A2" s="3"/>
      <c r="B2" s="3" t="s">
        <v>14</v>
      </c>
      <c r="C2" s="3"/>
      <c r="D2" s="3"/>
      <c r="E2" s="3"/>
      <c r="F2" s="3"/>
      <c r="G2" s="3"/>
      <c r="H2" s="3"/>
    </row>
    <row r="3" spans="1:8" x14ac:dyDescent="0.3">
      <c r="B3" t="s">
        <v>0</v>
      </c>
      <c r="C3" t="s">
        <v>1</v>
      </c>
      <c r="D3" t="s">
        <v>2</v>
      </c>
      <c r="E3" t="s">
        <v>4</v>
      </c>
      <c r="F3" t="s">
        <v>3</v>
      </c>
    </row>
    <row r="4" spans="1:8" x14ac:dyDescent="0.3">
      <c r="A4">
        <v>1</v>
      </c>
      <c r="B4" s="2">
        <f>(1-(295/807))*100</f>
        <v>63.44485749690211</v>
      </c>
      <c r="C4" s="2">
        <v>28.2648976456009</v>
      </c>
      <c r="D4" s="2">
        <v>37.688065721386501</v>
      </c>
      <c r="E4" s="1">
        <v>24.9450783356132</v>
      </c>
      <c r="F4" s="2">
        <v>0.36960111524163503</v>
      </c>
      <c r="G4" t="s">
        <v>5</v>
      </c>
    </row>
    <row r="5" spans="1:8" x14ac:dyDescent="0.3">
      <c r="A5">
        <v>2</v>
      </c>
      <c r="B5" s="2">
        <f>(1-(577/1061))*100</f>
        <v>45.617342130065971</v>
      </c>
      <c r="C5" s="2">
        <v>33.856393496701202</v>
      </c>
      <c r="D5" s="2">
        <v>50.789565550608302</v>
      </c>
      <c r="E5" s="1">
        <v>37.877127415154</v>
      </c>
      <c r="F5" s="2">
        <v>0.32632252591894401</v>
      </c>
      <c r="G5" t="s">
        <v>13</v>
      </c>
    </row>
    <row r="6" spans="1:8" x14ac:dyDescent="0.3">
      <c r="A6">
        <v>3</v>
      </c>
      <c r="B6" s="2">
        <f>(1-(6/760))*100</f>
        <v>99.210526315789465</v>
      </c>
      <c r="C6" s="2">
        <v>17.342789868421001</v>
      </c>
      <c r="D6" s="2">
        <v>20.0031905036174</v>
      </c>
      <c r="E6" s="1">
        <v>9.9742755507707699</v>
      </c>
      <c r="F6" s="2">
        <v>0.447814868421052</v>
      </c>
      <c r="G6" t="s">
        <v>6</v>
      </c>
    </row>
    <row r="7" spans="1:8" x14ac:dyDescent="0.3">
      <c r="A7">
        <v>4</v>
      </c>
      <c r="B7" s="2">
        <f>(1-(50/730))*100</f>
        <v>93.150684931506845</v>
      </c>
      <c r="C7" s="2">
        <v>28.675053835616399</v>
      </c>
      <c r="D7" s="2">
        <v>33.2716670070416</v>
      </c>
      <c r="E7" s="1">
        <v>16.885961915589</v>
      </c>
      <c r="F7" s="2">
        <v>0.39070054794520498</v>
      </c>
      <c r="G7" t="s">
        <v>7</v>
      </c>
    </row>
    <row r="8" spans="1:8" x14ac:dyDescent="0.3">
      <c r="A8">
        <v>5</v>
      </c>
      <c r="B8" s="2">
        <f>(1-(212/460))*100</f>
        <v>53.913043478260867</v>
      </c>
      <c r="C8" s="2">
        <v>46.641597826086901</v>
      </c>
      <c r="D8" s="2">
        <v>76.6631989324096</v>
      </c>
      <c r="E8" s="1">
        <v>60.908721565131202</v>
      </c>
      <c r="F8" s="2">
        <v>0.35321608695652101</v>
      </c>
      <c r="G8" t="s">
        <v>8</v>
      </c>
    </row>
    <row r="9" spans="1:8" x14ac:dyDescent="0.3">
      <c r="A9">
        <v>8</v>
      </c>
      <c r="B9" s="2">
        <f>(1-(429/811))*100</f>
        <v>47.102342786683103</v>
      </c>
      <c r="C9" s="2">
        <v>18.855962041884801</v>
      </c>
      <c r="D9" s="2">
        <v>21.134659455504099</v>
      </c>
      <c r="E9" s="1">
        <v>9.5585408409513697</v>
      </c>
      <c r="F9" s="2">
        <v>0.420035511713933</v>
      </c>
      <c r="G9" t="s">
        <v>9</v>
      </c>
    </row>
    <row r="10" spans="1:8" x14ac:dyDescent="0.3">
      <c r="A10">
        <v>9</v>
      </c>
      <c r="B10" s="2">
        <f>(1-(622/760))*100</f>
        <v>18.157894736842106</v>
      </c>
      <c r="C10" s="2">
        <v>80.999139999999997</v>
      </c>
      <c r="D10" s="2">
        <v>137.565878747743</v>
      </c>
      <c r="E10" s="1">
        <v>111.264547474927</v>
      </c>
      <c r="F10" s="2">
        <v>0.70036921052631496</v>
      </c>
      <c r="G10" t="s">
        <v>10</v>
      </c>
    </row>
    <row r="11" spans="1:8" x14ac:dyDescent="0.3">
      <c r="A11">
        <v>10</v>
      </c>
      <c r="B11" s="2">
        <f>(1-(118/130))*100</f>
        <v>9.2307692307692317</v>
      </c>
      <c r="C11" s="2">
        <v>133.976659558823</v>
      </c>
      <c r="D11" s="2">
        <v>184.34873559016401</v>
      </c>
      <c r="E11" s="1">
        <v>127.09636754935801</v>
      </c>
      <c r="F11" s="2">
        <v>0.32316544117647</v>
      </c>
      <c r="G11" t="s">
        <v>12</v>
      </c>
    </row>
    <row r="12" spans="1:8" x14ac:dyDescent="0.3">
      <c r="A12">
        <v>11</v>
      </c>
      <c r="B12" s="2">
        <f>(1-(85/576))*100</f>
        <v>85.243055555555557</v>
      </c>
      <c r="C12" s="2">
        <v>19.6547480902777</v>
      </c>
      <c r="D12" s="2">
        <v>23.0222470480204</v>
      </c>
      <c r="E12" s="1">
        <v>11.9985280480665</v>
      </c>
      <c r="F12" s="2">
        <v>0.43857621527777702</v>
      </c>
      <c r="G12" t="s">
        <v>11</v>
      </c>
    </row>
    <row r="14" spans="1:8" x14ac:dyDescent="0.3">
      <c r="A14" s="3"/>
      <c r="B14" s="3" t="s">
        <v>15</v>
      </c>
      <c r="C14" s="3"/>
      <c r="D14" s="3"/>
      <c r="E14" s="3"/>
      <c r="F14" s="3"/>
      <c r="G14" s="3"/>
      <c r="H14" s="3"/>
    </row>
    <row r="15" spans="1:8" x14ac:dyDescent="0.3">
      <c r="B15" t="s">
        <v>0</v>
      </c>
      <c r="C15" t="s">
        <v>1</v>
      </c>
      <c r="D15" t="s">
        <v>2</v>
      </c>
      <c r="E15" t="s">
        <v>4</v>
      </c>
      <c r="F15" t="s">
        <v>3</v>
      </c>
    </row>
    <row r="16" spans="1:8" x14ac:dyDescent="0.3">
      <c r="A16" t="s">
        <v>16</v>
      </c>
      <c r="B16">
        <f>(1-(331/2705))*100</f>
        <v>87.763401109057298</v>
      </c>
      <c r="C16">
        <v>61.500550794824299</v>
      </c>
      <c r="D16" s="2">
        <v>93.1671322160188</v>
      </c>
      <c r="E16" s="2">
        <v>69.997200605928398</v>
      </c>
      <c r="F16">
        <v>0.80846110905730295</v>
      </c>
      <c r="G16" t="s">
        <v>19</v>
      </c>
    </row>
    <row r="17" spans="1:7" x14ac:dyDescent="0.3">
      <c r="A17" t="s">
        <v>17</v>
      </c>
      <c r="B17">
        <f>(1-(455/2705))*100</f>
        <v>83.179297597042506</v>
      </c>
      <c r="C17">
        <v>201.25226532347401</v>
      </c>
      <c r="D17" s="1">
        <v>845.86656073274503</v>
      </c>
      <c r="E17">
        <v>821.72829446263904</v>
      </c>
      <c r="F17">
        <v>0.84939767097966801</v>
      </c>
      <c r="G17" t="s">
        <v>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Signe Møller-Skuldbøl</dc:creator>
  <cp:lastModifiedBy>Signe Møller-Skuldbøl</cp:lastModifiedBy>
  <dcterms:created xsi:type="dcterms:W3CDTF">2025-12-08T14:10:40Z</dcterms:created>
  <dcterms:modified xsi:type="dcterms:W3CDTF">2025-12-08T16:04:27Z</dcterms:modified>
</cp:coreProperties>
</file>